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perty Setup" sheetId="2" state="visible" r:id="rId4"/>
    <sheet name="Apr" sheetId="3" state="visible" r:id="rId5"/>
    <sheet name="May" sheetId="4" state="visible" r:id="rId6"/>
    <sheet name="Jun" sheetId="5" state="visible" r:id="rId7"/>
    <sheet name="Jul" sheetId="6" state="visible" r:id="rId8"/>
    <sheet name="Aug" sheetId="7" state="visible" r:id="rId9"/>
    <sheet name="Sep" sheetId="8" state="visible" r:id="rId10"/>
    <sheet name="Oct" sheetId="9" state="visible" r:id="rId11"/>
    <sheet name="Nov" sheetId="10" state="visible" r:id="rId12"/>
    <sheet name="Dec" sheetId="11" state="visible" r:id="rId13"/>
    <sheet name="Jan" sheetId="12" state="visible" r:id="rId14"/>
    <sheet name="Feb" sheetId="13" state="visible" r:id="rId15"/>
    <sheet name="Mar" sheetId="14" state="visible" r:id="rId16"/>
    <sheet name="Quarterly MTD" sheetId="15" state="visible" r:id="rId17"/>
    <sheet name="Annual Summary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SA105 Box 25</t>
        </r>
      </text>
    </comment>
    <comment ref="B13" authorId="0">
      <text>
        <r>
          <rPr>
            <sz val="10"/>
            <rFont val="Arial"/>
            <family val="2"/>
          </rPr>
          <t xml:space="preserve">SA105 Box 26</t>
        </r>
      </text>
    </comment>
    <comment ref="B14" authorId="0">
      <text>
        <r>
          <rPr>
            <sz val="10"/>
            <rFont val="Arial"/>
            <family val="2"/>
          </rPr>
          <t xml:space="preserve">SA105 Box 27 — 20% tax credit only</t>
        </r>
      </text>
    </comment>
    <comment ref="B15" authorId="0">
      <text>
        <r>
          <rPr>
            <sz val="10"/>
            <rFont val="Arial"/>
            <family val="2"/>
          </rPr>
          <t xml:space="preserve">SA105 Box 28</t>
        </r>
      </text>
    </comment>
    <comment ref="B16" authorId="0">
      <text>
        <r>
          <rPr>
            <sz val="10"/>
            <rFont val="Arial"/>
            <family val="2"/>
          </rPr>
          <t xml:space="preserve">SA105 Box 29</t>
        </r>
      </text>
    </comment>
    <comment ref="B17" authorId="0">
      <text>
        <r>
          <rPr>
            <sz val="10"/>
            <rFont val="Arial"/>
            <family val="2"/>
          </rPr>
          <t xml:space="preserve">SA105 Box 30</t>
        </r>
      </text>
    </comment>
    <comment ref="B18" authorId="0">
      <text>
        <r>
          <rPr>
            <sz val="10"/>
            <rFont val="Arial"/>
            <family val="2"/>
          </rPr>
          <t xml:space="preserve">SA105 Box 31</t>
        </r>
      </text>
    </comment>
  </commentList>
</comments>
</file>

<file path=xl/sharedStrings.xml><?xml version="1.0" encoding="utf-8"?>
<sst xmlns="http://schemas.openxmlformats.org/spreadsheetml/2006/main" count="365" uniqueCount="144">
  <si>
    <t xml:space="preserve">UK Landlord Income &amp; Expense Tracker 2026/27</t>
  </si>
  <si>
    <t xml:space="preserve">HMRC SA105 Ready  |  Making Tax Digital Compatible  |  Multi-Property</t>
  </si>
  <si>
    <t xml:space="preserve">HOW TO USE THIS SPREADSHEET</t>
  </si>
  <si>
    <t xml:space="preserve">1. Set up your properties</t>
  </si>
  <si>
    <t xml:space="preserve">Go to the 'Property Setup' tab and enter your property details (address, purchase price, mortgage info). You can track up to 10 properties.</t>
  </si>
  <si>
    <t xml:space="preserve">2. Record transactions monthly</t>
  </si>
  <si>
    <t xml:space="preserve">Each month has its own tab (Apr through Mar, matching the UK tax year). Enter your rental income and expenses as they occur.</t>
  </si>
  <si>
    <t xml:space="preserve">3. Use UK tax categories</t>
  </si>
  <si>
    <t xml:space="preserve">Expense categories match HMRC Self Assessment form SA105 boxes. This makes filling your tax return much easier.</t>
  </si>
  <si>
    <t xml:space="preserve">4. Check quarterly summaries</t>
  </si>
  <si>
    <t xml:space="preserve">The 'Quarterly MTD' tab automatically calculates your quarterly figures for Making Tax Digital submissions (Q1: Apr-Jun, Q2: Jul-Sep, Q3: Oct-Dec, Q4: Jan-Mar).</t>
  </si>
  <si>
    <t xml:space="preserve">5. Review your annual summary</t>
  </si>
  <si>
    <t xml:space="preserve">The 'Annual Summary' tab shows your full-year performance, tax estimate, and key metrics per property.</t>
  </si>
  <si>
    <t xml:space="preserve">6. Keep receipts</t>
  </si>
  <si>
    <t xml:space="preserve">This spreadsheet helps organise your figures, but you must still keep all receipts and invoices for at least 5 years as required by HMRC.</t>
  </si>
  <si>
    <t xml:space="preserve">COLOUR GUIDE</t>
  </si>
  <si>
    <t xml:space="preserve">Blue text on light yellow</t>
  </si>
  <si>
    <t xml:space="preserve">Cells where YOU enter data</t>
  </si>
  <si>
    <t xml:space="preserve">Bold black text</t>
  </si>
  <si>
    <t xml:space="preserve">Calculated automatically — do not edit</t>
  </si>
  <si>
    <t xml:space="preserve">Green background</t>
  </si>
  <si>
    <t xml:space="preserve">Positive result / profit</t>
  </si>
  <si>
    <t xml:space="preserve">Red background</t>
  </si>
  <si>
    <t xml:space="preserve">Negative result / loss or deadline warning</t>
  </si>
  <si>
    <t xml:space="preserve">IMPORTANT DATES 2026/27 TAX YEAR</t>
  </si>
  <si>
    <t xml:space="preserve">6 April 2026</t>
  </si>
  <si>
    <t xml:space="preserve">Tax year starts — begin recording from this date</t>
  </si>
  <si>
    <t xml:space="preserve">7 August 2026</t>
  </si>
  <si>
    <t xml:space="preserve">MTD Q1 quarterly update deadline (Apr-Jun)</t>
  </si>
  <si>
    <t xml:space="preserve">7 November 2026</t>
  </si>
  <si>
    <t xml:space="preserve">MTD Q2 quarterly update deadline (Jul-Sep)</t>
  </si>
  <si>
    <t xml:space="preserve">7 February 2027</t>
  </si>
  <si>
    <t xml:space="preserve">MTD Q3 quarterly update deadline (Oct-Dec)</t>
  </si>
  <si>
    <t xml:space="preserve">5 April 2027</t>
  </si>
  <si>
    <t xml:space="preserve">Tax year ends</t>
  </si>
  <si>
    <t xml:space="preserve">7 May 2027</t>
  </si>
  <si>
    <t xml:space="preserve">MTD Q4 quarterly update deadline (Jan-Mar)</t>
  </si>
  <si>
    <t xml:space="preserve">31 January 2028</t>
  </si>
  <si>
    <t xml:space="preserve">Self Assessment tax return deadline for 2026/27</t>
  </si>
  <si>
    <t xml:space="preserve">Disclaimer: This spreadsheet is a bookkeeping tool and does not constitute tax advice. Always consult a qualified accountant for your specific tax situation.</t>
  </si>
  <si>
    <t xml:space="preserve">Property Portfolio Setup</t>
  </si>
  <si>
    <t xml:space="preserve">Enter your property details below. Blue cells are for your input.</t>
  </si>
  <si>
    <t xml:space="preserve">Detail</t>
  </si>
  <si>
    <t xml:space="preserve">Property 1</t>
  </si>
  <si>
    <t xml:space="preserve">Property 2</t>
  </si>
  <si>
    <t xml:space="preserve">Property 3</t>
  </si>
  <si>
    <t xml:space="preserve">Property 4</t>
  </si>
  <si>
    <t xml:space="preserve">Property 5</t>
  </si>
  <si>
    <t xml:space="preserve">Property 6</t>
  </si>
  <si>
    <t xml:space="preserve">Property 7</t>
  </si>
  <si>
    <t xml:space="preserve">Property 8</t>
  </si>
  <si>
    <t xml:space="preserve">Property 9</t>
  </si>
  <si>
    <t xml:space="preserve">Property 10</t>
  </si>
  <si>
    <t xml:space="preserve">Property Name / Reference</t>
  </si>
  <si>
    <t xml:space="preserve">Address Line 1</t>
  </si>
  <si>
    <t xml:space="preserve">Postcode</t>
  </si>
  <si>
    <t xml:space="preserve">Property Type (House/Flat/HMO)</t>
  </si>
  <si>
    <t xml:space="preserve">Date Acquired</t>
  </si>
  <si>
    <t xml:space="preserve">Purchase Price (£)</t>
  </si>
  <si>
    <t xml:space="preserve">Current Estimated Value (£)</t>
  </si>
  <si>
    <t xml:space="preserve">Mortgage Outstanding (£)</t>
  </si>
  <si>
    <t xml:space="preserve">Monthly Mortgage Payment (£)</t>
  </si>
  <si>
    <t xml:space="preserve">Mortgage Interest Rate (%)</t>
  </si>
  <si>
    <t xml:space="preserve">Annual Mortgage Interest (£)</t>
  </si>
  <si>
    <t xml:space="preserve">Monthly Rent (£)</t>
  </si>
  <si>
    <t xml:space="preserve">Tenancy Start Date</t>
  </si>
  <si>
    <t xml:space="preserve">Tenant Name(s)</t>
  </si>
  <si>
    <t xml:space="preserve">Letting Agent (if any)</t>
  </si>
  <si>
    <t xml:space="preserve">EPC Rating</t>
  </si>
  <si>
    <t xml:space="preserve">Gas Safety Cert Expiry</t>
  </si>
  <si>
    <t xml:space="preserve">EICR Expiry</t>
  </si>
  <si>
    <t xml:space="preserve">EPC Expiry</t>
  </si>
  <si>
    <t xml:space="preserve">April 2026 — Income &amp; Expenses</t>
  </si>
  <si>
    <t xml:space="preserve">Tax Year 2026/27  |  Quarter 1  |  Enter amounts in blue cells</t>
  </si>
  <si>
    <t xml:space="preserve">Category</t>
  </si>
  <si>
    <t xml:space="preserve">TOTAL</t>
  </si>
  <si>
    <t xml:space="preserve">INCOME</t>
  </si>
  <si>
    <t xml:space="preserve">Rental Income Received</t>
  </si>
  <si>
    <t xml:space="preserve">Other Property Income</t>
  </si>
  <si>
    <t xml:space="preserve">TOTAL INCOME</t>
  </si>
  <si>
    <t xml:space="preserve">EXPENSES (HMRC SA105 Categories)</t>
  </si>
  <si>
    <t xml:space="preserve">Rent, rates, insurance &amp; ground rent</t>
  </si>
  <si>
    <t xml:space="preserve">Property repairs &amp; maintenance</t>
  </si>
  <si>
    <t xml:space="preserve">Loan interest &amp; financial costs</t>
  </si>
  <si>
    <t xml:space="preserve">Legal, management &amp; professional fees</t>
  </si>
  <si>
    <t xml:space="preserve">Cost of services (inc. wages)</t>
  </si>
  <si>
    <t xml:space="preserve">Travel &amp; vehicle costs</t>
  </si>
  <si>
    <t xml:space="preserve">Allowable other expenses</t>
  </si>
  <si>
    <t xml:space="preserve">TOTAL EXPENSES</t>
  </si>
  <si>
    <t xml:space="preserve">NET PROFIT / (LOSS)</t>
  </si>
  <si>
    <t xml:space="preserve">SA105 Reference: Box 20 = Total rents, Box 25-31 = Expenses by category. Hover over expense names for SA105 box references.</t>
  </si>
  <si>
    <t xml:space="preserve">May 2026 — Income &amp; Expenses</t>
  </si>
  <si>
    <t xml:space="preserve">June 2026 — Income &amp; Expenses</t>
  </si>
  <si>
    <t xml:space="preserve">July 2026 — Income &amp; Expenses</t>
  </si>
  <si>
    <t xml:space="preserve">Tax Year 2026/27  |  Quarter 2  |  Enter amounts in blue cells</t>
  </si>
  <si>
    <t xml:space="preserve">August 2026 — Income &amp; Expenses</t>
  </si>
  <si>
    <t xml:space="preserve">September 2026 — Income &amp; Expenses</t>
  </si>
  <si>
    <t xml:space="preserve">October 2026 — Income &amp; Expenses</t>
  </si>
  <si>
    <t xml:space="preserve">Tax Year 2026/27  |  Quarter 3  |  Enter amounts in blue cells</t>
  </si>
  <si>
    <t xml:space="preserve">November 2026 — Income &amp; Expenses</t>
  </si>
  <si>
    <t xml:space="preserve">December 2026 — Income &amp; Expenses</t>
  </si>
  <si>
    <t xml:space="preserve">January 2027 — Income &amp; Expenses</t>
  </si>
  <si>
    <t xml:space="preserve">Tax Year 2026/27  |  Quarter 4  |  Enter amounts in blue cells</t>
  </si>
  <si>
    <t xml:space="preserve">February 2027 — Income &amp; Expenses</t>
  </si>
  <si>
    <t xml:space="preserve">March 2027 — Income &amp; Expenses</t>
  </si>
  <si>
    <t xml:space="preserve">Making Tax Digital — Quarterly Summary</t>
  </si>
  <si>
    <t xml:space="preserve">Tax Year 2026/27  |  Auto-calculated from monthly tabs  |  Submit to HMRC via MTD software</t>
  </si>
  <si>
    <t xml:space="preserve">Q1 (Apr-Jun)</t>
  </si>
  <si>
    <t xml:space="preserve">Q2 (Jul-Sep)</t>
  </si>
  <si>
    <t xml:space="preserve">Q3 (Oct-Dec)</t>
  </si>
  <si>
    <t xml:space="preserve">Q4 (Jan-Mar)</t>
  </si>
  <si>
    <t xml:space="preserve">FULL YEAR</t>
  </si>
  <si>
    <t xml:space="preserve">MORTGAGE INTEREST (20% Tax Credit)</t>
  </si>
  <si>
    <t xml:space="preserve">Finance costs (from expenses above)</t>
  </si>
  <si>
    <t xml:space="preserve">20% Tax Credit on Finance Costs</t>
  </si>
  <si>
    <t xml:space="preserve">MTD SUBMISSION DEADLINES</t>
  </si>
  <si>
    <t xml:space="preserve">Q1 (Apr-Jun 2026)</t>
  </si>
  <si>
    <t xml:space="preserve">Q2 (Jul-Sep 2026)</t>
  </si>
  <si>
    <t xml:space="preserve">Q3 (Oct-Dec 2026)</t>
  </si>
  <si>
    <t xml:space="preserve">Q4 (Jan-Mar 2027)</t>
  </si>
  <si>
    <t xml:space="preserve">Annual Summary — Tax Year 2026/27</t>
  </si>
  <si>
    <t xml:space="preserve">Auto-calculated from Quarterly MTD tab  |  For Self Assessment SA105</t>
  </si>
  <si>
    <t xml:space="preserve">Amount (£)</t>
  </si>
  <si>
    <t xml:space="preserve">SA105 Box</t>
  </si>
  <si>
    <t xml:space="preserve">Total Rents &amp; Other Income</t>
  </si>
  <si>
    <t xml:space="preserve">Box 20</t>
  </si>
  <si>
    <t xml:space="preserve">Box 25</t>
  </si>
  <si>
    <t xml:space="preserve">Box 26</t>
  </si>
  <si>
    <t xml:space="preserve">Box 27</t>
  </si>
  <si>
    <t xml:space="preserve">Box 28</t>
  </si>
  <si>
    <t xml:space="preserve">Box 29</t>
  </si>
  <si>
    <t xml:space="preserve">Box 30</t>
  </si>
  <si>
    <t xml:space="preserve">Box 31</t>
  </si>
  <si>
    <t xml:space="preserve">Total Allowable Expenses</t>
  </si>
  <si>
    <t xml:space="preserve">Box 32</t>
  </si>
  <si>
    <t xml:space="preserve">NET PROPERTY INCOME / (LOSS)</t>
  </si>
  <si>
    <t xml:space="preserve">Box 38</t>
  </si>
  <si>
    <t xml:space="preserve">TAX ESTIMATE (for guidance only — consult your accountant)</t>
  </si>
  <si>
    <t xml:space="preserve">Your Income Tax Rate</t>
  </si>
  <si>
    <t xml:space="preserve">Enter 20%, 40% or 45%</t>
  </si>
  <si>
    <t xml:space="preserve">Estimated Tax on Property Income</t>
  </si>
  <si>
    <t xml:space="preserve">Less: 20% Mortgage Interest Tax Credit</t>
  </si>
  <si>
    <t xml:space="preserve">ESTIMATED NET TAX DUE</t>
  </si>
  <si>
    <t xml:space="preserve">Note: This is an estimate only. Actual tax liability depends on your total income from all sources, personal allowance, and other factors. The 20% mortgage interest tax credit applies to all taxpayers regardless of their tax band. Always consult a qualified accountant.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</si>
</sst>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"/>
    <numFmt numFmtId="166" formatCode="0.0%"/>
    <numFmt numFmtId="167" formatCode="\£#,##0.00;&quot;(£&quot;#,##0.0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2C3E6B"/>
      <name val="Arial"/>
      <family val="0"/>
      <charset val="1"/>
    </font>
    <font>
      <b val="true"/>
      <sz val="10"/>
      <color rgb="FF2C3E6B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8B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name val="Arial"/>
      <family val="2"/>
    </font>
    <font>
      <b val="true"/>
      <sz val="12"/>
      <color rgb="FF1B2A4A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1"/>
      <color rgb="FF8B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FFFFF0"/>
        <bgColor rgb="FFFFFFFF"/>
      </patternFill>
    </fill>
    <fill>
      <patternFill patternType="solid">
        <fgColor rgb="FFFFFFFF"/>
        <bgColor rgb="FFFFFFF0"/>
      </patternFill>
    </fill>
    <fill>
      <patternFill patternType="solid">
        <fgColor rgb="FFE2EFDA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B2A4A"/>
        <bgColor rgb="FF2C3E6B"/>
      </patternFill>
    </fill>
    <fill>
      <patternFill patternType="solid">
        <fgColor rgb="FFEDF2F9"/>
        <bgColor rgb="FFF2F2F2"/>
      </patternFill>
    </fill>
    <fill>
      <patternFill patternType="solid">
        <fgColor rgb="FFF2F2F2"/>
        <bgColor rgb="FFEDF2F9"/>
      </patternFill>
    </fill>
    <fill>
      <patternFill patternType="solid">
        <fgColor rgb="FF2C3E6B"/>
        <bgColor rgb="FF404040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B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F2F2F2"/>
      <rgbColor rgb="FF808080"/>
      <rgbColor rgb="FF9999FF"/>
      <rgbColor rgb="FF993366"/>
      <rgbColor rgb="FFFFF2CC"/>
      <rgbColor rgb="FFEDF2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F0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1B2A4A"/>
      <rgbColor rgb="FF339966"/>
      <rgbColor rgb="FF003300"/>
      <rgbColor rgb="FF375623"/>
      <rgbColor rgb="FF993300"/>
      <rgbColor rgb="FF993366"/>
      <rgbColor rgb="FF2C3E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50"/>
    <col collapsed="false" customWidth="true" hidden="false" outlineLevel="0" max="4" min="4" style="0" width="3"/>
  </cols>
  <sheetData>
    <row r="2" customFormat="false" ht="34.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/>
    </row>
    <row r="7" customFormat="false" ht="19.5" hidden="false" customHeight="true" outlineLevel="0" collapsed="false">
      <c r="B7" s="4" t="s">
        <v>3</v>
      </c>
      <c r="C7" s="4"/>
    </row>
    <row r="8" customFormat="false" ht="34.5" hidden="false" customHeight="true" outlineLevel="0" collapsed="false">
      <c r="B8" s="5" t="s">
        <v>4</v>
      </c>
      <c r="C8" s="5"/>
    </row>
    <row r="10" customFormat="false" ht="19.5" hidden="false" customHeight="true" outlineLevel="0" collapsed="false">
      <c r="B10" s="4" t="s">
        <v>5</v>
      </c>
      <c r="C10" s="4"/>
    </row>
    <row r="11" customFormat="false" ht="34.5" hidden="false" customHeight="true" outlineLevel="0" collapsed="false">
      <c r="B11" s="5" t="s">
        <v>6</v>
      </c>
      <c r="C11" s="5"/>
    </row>
    <row r="13" customFormat="false" ht="19.5" hidden="false" customHeight="true" outlineLevel="0" collapsed="false">
      <c r="B13" s="4" t="s">
        <v>7</v>
      </c>
      <c r="C13" s="4"/>
    </row>
    <row r="14" customFormat="false" ht="34.5" hidden="false" customHeight="true" outlineLevel="0" collapsed="false">
      <c r="B14" s="5" t="s">
        <v>8</v>
      </c>
      <c r="C14" s="5"/>
    </row>
    <row r="16" customFormat="false" ht="19.5" hidden="false" customHeight="true" outlineLevel="0" collapsed="false">
      <c r="B16" s="4" t="s">
        <v>9</v>
      </c>
      <c r="C16" s="4"/>
    </row>
    <row r="17" customFormat="false" ht="34.5" hidden="false" customHeight="true" outlineLevel="0" collapsed="false">
      <c r="B17" s="5" t="s">
        <v>10</v>
      </c>
      <c r="C17" s="5"/>
    </row>
    <row r="19" customFormat="false" ht="19.5" hidden="false" customHeight="true" outlineLevel="0" collapsed="false">
      <c r="B19" s="4" t="s">
        <v>11</v>
      </c>
      <c r="C19" s="4"/>
    </row>
    <row r="20" customFormat="false" ht="34.5" hidden="false" customHeight="true" outlineLevel="0" collapsed="false">
      <c r="B20" s="5" t="s">
        <v>12</v>
      </c>
      <c r="C20" s="5"/>
    </row>
    <row r="22" customFormat="false" ht="19.5" hidden="false" customHeight="true" outlineLevel="0" collapsed="false">
      <c r="B22" s="4" t="s">
        <v>13</v>
      </c>
      <c r="C22" s="4"/>
    </row>
    <row r="23" customFormat="false" ht="34.5" hidden="false" customHeight="true" outlineLevel="0" collapsed="false">
      <c r="B23" s="5" t="s">
        <v>14</v>
      </c>
      <c r="C23" s="5"/>
    </row>
    <row r="25" customFormat="false" ht="15" hidden="false" customHeight="false" outlineLevel="0" collapsed="false">
      <c r="B25" s="3" t="s">
        <v>15</v>
      </c>
      <c r="C25" s="3"/>
    </row>
    <row r="27" customFormat="false" ht="15" hidden="false" customHeight="false" outlineLevel="0" collapsed="false">
      <c r="B27" s="6" t="s">
        <v>16</v>
      </c>
      <c r="C27" s="7" t="s">
        <v>17</v>
      </c>
    </row>
    <row r="28" customFormat="false" ht="15" hidden="false" customHeight="false" outlineLevel="0" collapsed="false">
      <c r="B28" s="8" t="s">
        <v>18</v>
      </c>
      <c r="C28" s="7" t="s">
        <v>19</v>
      </c>
    </row>
    <row r="29" customFormat="false" ht="15" hidden="false" customHeight="false" outlineLevel="0" collapsed="false">
      <c r="B29" s="9" t="s">
        <v>20</v>
      </c>
      <c r="C29" s="7" t="s">
        <v>21</v>
      </c>
    </row>
    <row r="30" customFormat="false" ht="15" hidden="false" customHeight="false" outlineLevel="0" collapsed="false">
      <c r="B30" s="10" t="s">
        <v>22</v>
      </c>
      <c r="C30" s="7" t="s">
        <v>23</v>
      </c>
    </row>
    <row r="33" customFormat="false" ht="15" hidden="false" customHeight="false" outlineLevel="0" collapsed="false">
      <c r="B33" s="11" t="s">
        <v>24</v>
      </c>
      <c r="C33" s="11"/>
    </row>
    <row r="35" customFormat="false" ht="15" hidden="false" customHeight="false" outlineLevel="0" collapsed="false">
      <c r="B35" s="12" t="s">
        <v>25</v>
      </c>
      <c r="C35" s="7" t="s">
        <v>26</v>
      </c>
    </row>
    <row r="36" customFormat="false" ht="15" hidden="false" customHeight="false" outlineLevel="0" collapsed="false">
      <c r="B36" s="12" t="s">
        <v>27</v>
      </c>
      <c r="C36" s="7" t="s">
        <v>28</v>
      </c>
    </row>
    <row r="37" customFormat="false" ht="15" hidden="false" customHeight="false" outlineLevel="0" collapsed="false">
      <c r="B37" s="12" t="s">
        <v>29</v>
      </c>
      <c r="C37" s="7" t="s">
        <v>30</v>
      </c>
    </row>
    <row r="38" customFormat="false" ht="15" hidden="false" customHeight="false" outlineLevel="0" collapsed="false">
      <c r="B38" s="12" t="s">
        <v>31</v>
      </c>
      <c r="C38" s="7" t="s">
        <v>32</v>
      </c>
    </row>
    <row r="39" customFormat="false" ht="15" hidden="false" customHeight="false" outlineLevel="0" collapsed="false">
      <c r="B39" s="12" t="s">
        <v>33</v>
      </c>
      <c r="C39" s="7" t="s">
        <v>34</v>
      </c>
    </row>
    <row r="40" customFormat="false" ht="15" hidden="false" customHeight="false" outlineLevel="0" collapsed="false">
      <c r="B40" s="12" t="s">
        <v>35</v>
      </c>
      <c r="C40" s="7" t="s">
        <v>36</v>
      </c>
    </row>
    <row r="41" customFormat="false" ht="15" hidden="false" customHeight="false" outlineLevel="0" collapsed="false">
      <c r="B41" s="12" t="s">
        <v>37</v>
      </c>
      <c r="C41" s="7" t="s">
        <v>38</v>
      </c>
    </row>
    <row r="44" customFormat="false" ht="15" hidden="false" customHeight="false" outlineLevel="0" collapsed="false">
      <c r="B44" s="13" t="s">
        <v>39</v>
      </c>
      <c r="C44" s="13"/>
    </row>
  </sheetData>
  <mergeCells count="18">
    <mergeCell ref="B2:C2"/>
    <mergeCell ref="B3:C3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33:C33"/>
    <mergeCell ref="B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6B"/>
    <pageSetUpPr fitToPage="false"/>
  </sheetPr>
  <dimension ref="B2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2" min="3" style="0" width="18"/>
    <col collapsed="false" customWidth="true" hidden="false" outlineLevel="0" max="13" min="13" style="0" width="3"/>
  </cols>
  <sheetData>
    <row r="2" customFormat="false" ht="19.7" hidden="false" customHeight="false" outlineLevel="0" collapsed="false">
      <c r="B2" s="14" t="s">
        <v>40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15" hidden="false" customHeight="false" outlineLevel="0" collapsed="false">
      <c r="B3" s="13" t="s">
        <v>41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5" customFormat="false" ht="24.75" hidden="false" customHeight="true" outlineLevel="0" collapsed="false">
      <c r="B5" s="15" t="s">
        <v>42</v>
      </c>
      <c r="C5" s="15" t="s">
        <v>43</v>
      </c>
      <c r="D5" s="15" t="s">
        <v>44</v>
      </c>
      <c r="E5" s="15" t="s">
        <v>45</v>
      </c>
      <c r="F5" s="15" t="s">
        <v>46</v>
      </c>
      <c r="G5" s="15" t="s">
        <v>47</v>
      </c>
      <c r="H5" s="15" t="s">
        <v>48</v>
      </c>
      <c r="I5" s="15" t="s">
        <v>49</v>
      </c>
      <c r="J5" s="15" t="s">
        <v>50</v>
      </c>
      <c r="K5" s="15" t="s">
        <v>51</v>
      </c>
      <c r="L5" s="15" t="s">
        <v>52</v>
      </c>
    </row>
    <row r="6" customFormat="false" ht="15" hidden="false" customHeight="false" outlineLevel="0" collapsed="false">
      <c r="B6" s="16" t="s">
        <v>53</v>
      </c>
      <c r="C6" s="17"/>
      <c r="D6" s="17"/>
      <c r="E6" s="17"/>
      <c r="F6" s="17"/>
      <c r="G6" s="17"/>
      <c r="H6" s="17"/>
      <c r="I6" s="17"/>
      <c r="J6" s="17"/>
      <c r="K6" s="17"/>
      <c r="L6" s="17"/>
    </row>
    <row r="7" customFormat="false" ht="15" hidden="false" customHeight="false" outlineLevel="0" collapsed="false">
      <c r="B7" s="16" t="s">
        <v>54</v>
      </c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15" hidden="false" customHeight="false" outlineLevel="0" collapsed="false">
      <c r="B8" s="16" t="s">
        <v>55</v>
      </c>
      <c r="C8" s="17"/>
      <c r="D8" s="17"/>
      <c r="E8" s="17"/>
      <c r="F8" s="17"/>
      <c r="G8" s="17"/>
      <c r="H8" s="17"/>
      <c r="I8" s="17"/>
      <c r="J8" s="17"/>
      <c r="K8" s="17"/>
      <c r="L8" s="17"/>
    </row>
    <row r="9" customFormat="false" ht="23.85" hidden="false" customHeight="false" outlineLevel="0" collapsed="false">
      <c r="B9" s="16" t="s">
        <v>56</v>
      </c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15" hidden="false" customHeight="false" outlineLevel="0" collapsed="false">
      <c r="B10" s="16" t="s">
        <v>57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" hidden="false" customHeight="false" outlineLevel="0" collapsed="false">
      <c r="B11" s="16" t="s">
        <v>58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customFormat="false" ht="15" hidden="false" customHeight="false" outlineLevel="0" collapsed="false">
      <c r="B12" s="16" t="s">
        <v>59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customFormat="false" ht="15" hidden="false" customHeight="false" outlineLevel="0" collapsed="false">
      <c r="B13" s="16" t="s">
        <v>60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customFormat="false" ht="15" hidden="false" customHeight="false" outlineLevel="0" collapsed="false">
      <c r="B14" s="16" t="s">
        <v>61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customFormat="false" ht="15" hidden="false" customHeight="false" outlineLevel="0" collapsed="false">
      <c r="B15" s="16" t="s">
        <v>62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customFormat="false" ht="15" hidden="false" customHeight="false" outlineLevel="0" collapsed="false">
      <c r="B16" s="16" t="s">
        <v>63</v>
      </c>
      <c r="C16" s="20" t="n">
        <f aca="false">IF(C13="",0,C13*C15)</f>
        <v>0</v>
      </c>
      <c r="D16" s="20" t="n">
        <f aca="false">IF(D13="",0,D13*D15)</f>
        <v>0</v>
      </c>
      <c r="E16" s="20" t="n">
        <f aca="false">IF(E13="",0,E13*E15)</f>
        <v>0</v>
      </c>
      <c r="F16" s="20" t="n">
        <f aca="false">IF(F13="",0,F13*F15)</f>
        <v>0</v>
      </c>
      <c r="G16" s="20" t="n">
        <f aca="false">IF(G13="",0,G13*G15)</f>
        <v>0</v>
      </c>
      <c r="H16" s="20" t="n">
        <f aca="false">IF(H13="",0,H13*H15)</f>
        <v>0</v>
      </c>
      <c r="I16" s="20" t="n">
        <f aca="false">IF(I13="",0,I13*I15)</f>
        <v>0</v>
      </c>
      <c r="J16" s="20" t="n">
        <f aca="false">IF(J13="",0,J13*J15)</f>
        <v>0</v>
      </c>
      <c r="K16" s="20" t="n">
        <f aca="false">IF(K13="",0,K13*K15)</f>
        <v>0</v>
      </c>
      <c r="L16" s="20" t="n">
        <f aca="false">IF(L13="",0,L13*L15)</f>
        <v>0</v>
      </c>
    </row>
    <row r="17" customFormat="false" ht="15" hidden="false" customHeight="false" outlineLevel="0" collapsed="false">
      <c r="B17" s="16" t="s">
        <v>64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customFormat="false" ht="15" hidden="false" customHeight="false" outlineLevel="0" collapsed="false">
      <c r="B18" s="16" t="s">
        <v>65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customFormat="false" ht="15" hidden="false" customHeight="false" outlineLevel="0" collapsed="false">
      <c r="B19" s="16" t="s">
        <v>66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customFormat="false" ht="15" hidden="false" customHeight="false" outlineLevel="0" collapsed="false">
      <c r="B20" s="16" t="s">
        <v>67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customFormat="false" ht="15" hidden="false" customHeight="false" outlineLevel="0" collapsed="false">
      <c r="B21" s="16" t="s">
        <v>68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15" hidden="false" customHeight="false" outlineLevel="0" collapsed="false">
      <c r="B22" s="16" t="s">
        <v>69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15" hidden="false" customHeight="false" outlineLevel="0" collapsed="false">
      <c r="B23" s="16" t="s">
        <v>70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customFormat="false" ht="15" hidden="false" customHeight="false" outlineLevel="0" collapsed="false">
      <c r="B24" s="16" t="s">
        <v>71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72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73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73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73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94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94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94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98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99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98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100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98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101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102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103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102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3" min="3" style="0" width="14"/>
    <col collapsed="false" customWidth="true" hidden="false" outlineLevel="0" max="14" min="14" style="0" width="3"/>
  </cols>
  <sheetData>
    <row r="2" customFormat="false" ht="17.35" hidden="false" customHeight="false" outlineLevel="0" collapsed="false">
      <c r="B2" s="21" t="s">
        <v>104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customFormat="false" ht="15" hidden="false" customHeight="false" outlineLevel="0" collapsed="false">
      <c r="B3" s="13" t="s">
        <v>102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5" customFormat="false" ht="24.75" hidden="false" customHeight="true" outlineLevel="0" collapsed="false">
      <c r="B5" s="22" t="s">
        <v>74</v>
      </c>
      <c r="C5" s="15" t="n">
        <f aca="false">'Property Setup'!C6</f>
        <v>0</v>
      </c>
      <c r="D5" s="15" t="n">
        <f aca="false">'Property Setup'!D6</f>
        <v>0</v>
      </c>
      <c r="E5" s="15" t="n">
        <f aca="false">'Property Setup'!E6</f>
        <v>0</v>
      </c>
      <c r="F5" s="15" t="n">
        <f aca="false">'Property Setup'!F6</f>
        <v>0</v>
      </c>
      <c r="G5" s="15" t="n">
        <f aca="false">'Property Setup'!G6</f>
        <v>0</v>
      </c>
      <c r="H5" s="15" t="n">
        <f aca="false">'Property Setup'!H6</f>
        <v>0</v>
      </c>
      <c r="I5" s="15" t="n">
        <f aca="false">'Property Setup'!I6</f>
        <v>0</v>
      </c>
      <c r="J5" s="15" t="n">
        <f aca="false">'Property Setup'!J6</f>
        <v>0</v>
      </c>
      <c r="K5" s="15" t="n">
        <f aca="false">'Property Setup'!K6</f>
        <v>0</v>
      </c>
      <c r="L5" s="15" t="n">
        <f aca="false">'Property Setup'!L6</f>
        <v>0</v>
      </c>
      <c r="M5" s="23" t="s">
        <v>75</v>
      </c>
    </row>
    <row r="6" customFormat="false" ht="21.75" hidden="false" customHeight="true" outlineLevel="0" collapsed="false">
      <c r="B6" s="24" t="s">
        <v>76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customFormat="false" ht="15" hidden="false" customHeight="false" outlineLevel="0" collapsed="false">
      <c r="B7" s="25" t="s">
        <v>77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 t="n">
        <f aca="false">SUM(C7:L7)</f>
        <v>0</v>
      </c>
    </row>
    <row r="8" customFormat="false" ht="15" hidden="false" customHeight="false" outlineLevel="0" collapsed="false">
      <c r="B8" s="25" t="s">
        <v>78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 t="n">
        <f aca="false">SUM(C8:L8)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  <c r="H9" s="29" t="n">
        <f aca="false">SUM(H7:H8)</f>
        <v>0</v>
      </c>
      <c r="I9" s="29" t="n">
        <f aca="false">SUM(I7:I8)</f>
        <v>0</v>
      </c>
      <c r="J9" s="29" t="n">
        <f aca="false">SUM(J7:J8)</f>
        <v>0</v>
      </c>
      <c r="K9" s="29" t="n">
        <f aca="false">SUM(K7:K8)</f>
        <v>0</v>
      </c>
      <c r="L9" s="29" t="n">
        <f aca="false">SUM(L7:L8)</f>
        <v>0</v>
      </c>
      <c r="M9" s="29" t="n">
        <f aca="false">SUM(M7:M8)</f>
        <v>0</v>
      </c>
    </row>
    <row r="11" customFormat="false" ht="21.75" hidden="false" customHeight="true" outlineLevel="0" collapsed="false">
      <c r="B11" s="30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" hidden="false" customHeight="false" outlineLevel="0" collapsed="false">
      <c r="B12" s="25" t="s">
        <v>81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n">
        <f aca="false">SUM(C12:L12)</f>
        <v>0</v>
      </c>
    </row>
    <row r="13" customFormat="false" ht="15" hidden="false" customHeight="false" outlineLevel="0" collapsed="false">
      <c r="B13" s="25" t="s">
        <v>82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n">
        <f aca="false">SUM(C13:L13)</f>
        <v>0</v>
      </c>
    </row>
    <row r="14" customFormat="false" ht="15" hidden="false" customHeight="false" outlineLevel="0" collapsed="false">
      <c r="B14" s="25" t="s">
        <v>83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n">
        <f aca="false">SUM(C14:L14)</f>
        <v>0</v>
      </c>
    </row>
    <row r="15" customFormat="false" ht="15" hidden="false" customHeight="false" outlineLevel="0" collapsed="false">
      <c r="B15" s="25" t="s">
        <v>84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n">
        <f aca="false">SUM(C15:L15)</f>
        <v>0</v>
      </c>
    </row>
    <row r="16" customFormat="false" ht="15" hidden="false" customHeight="false" outlineLevel="0" collapsed="false">
      <c r="B16" s="25" t="s">
        <v>85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n">
        <f aca="false">SUM(C16:L16)</f>
        <v>0</v>
      </c>
    </row>
    <row r="17" customFormat="false" ht="15" hidden="false" customHeight="false" outlineLevel="0" collapsed="false">
      <c r="B17" s="25" t="s">
        <v>86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n">
        <f aca="false">SUM(C17:L17)</f>
        <v>0</v>
      </c>
    </row>
    <row r="18" customFormat="false" ht="15" hidden="false" customHeight="false" outlineLevel="0" collapsed="false">
      <c r="B18" s="25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n">
        <f aca="false">SUM(C18:L18)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  <c r="H19" s="32" t="n">
        <f aca="false">SUM(H12:H18)</f>
        <v>0</v>
      </c>
      <c r="I19" s="32" t="n">
        <f aca="false">SUM(I12:I18)</f>
        <v>0</v>
      </c>
      <c r="J19" s="32" t="n">
        <f aca="false">SUM(J12:J18)</f>
        <v>0</v>
      </c>
      <c r="K19" s="32" t="n">
        <f aca="false">SUM(K12:K18)</f>
        <v>0</v>
      </c>
      <c r="L19" s="32" t="n">
        <f aca="false">SUM(L12:L18)</f>
        <v>0</v>
      </c>
      <c r="M19" s="32" t="n">
        <f aca="false">SUM(M12:M18)</f>
        <v>0</v>
      </c>
    </row>
    <row r="21" customFormat="false" ht="15" hidden="false" customHeight="false" outlineLevel="0" collapsed="false">
      <c r="B21" s="33" t="s">
        <v>89</v>
      </c>
      <c r="C21" s="34" t="n">
        <f aca="false">C9-C19</f>
        <v>0</v>
      </c>
      <c r="D21" s="34" t="n">
        <f aca="false">D9-D19</f>
        <v>0</v>
      </c>
      <c r="E21" s="34" t="n">
        <f aca="false">E9-E19</f>
        <v>0</v>
      </c>
      <c r="F21" s="34" t="n">
        <f aca="false">F9-F19</f>
        <v>0</v>
      </c>
      <c r="G21" s="34" t="n">
        <f aca="false">G9-G19</f>
        <v>0</v>
      </c>
      <c r="H21" s="34" t="n">
        <f aca="false">H9-H19</f>
        <v>0</v>
      </c>
      <c r="I21" s="34" t="n">
        <f aca="false">I9-I19</f>
        <v>0</v>
      </c>
      <c r="J21" s="34" t="n">
        <f aca="false">J9-J19</f>
        <v>0</v>
      </c>
      <c r="K21" s="34" t="n">
        <f aca="false">K9-K19</f>
        <v>0</v>
      </c>
      <c r="L21" s="34" t="n">
        <f aca="false">L9-L19</f>
        <v>0</v>
      </c>
      <c r="M21" s="34" t="n">
        <f aca="false">M9-M19</f>
        <v>0</v>
      </c>
    </row>
    <row r="23" customFormat="false" ht="15" hidden="false" customHeight="false" outlineLevel="0" collapsed="false">
      <c r="B23" s="13" t="s">
        <v>90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</sheetData>
  <mergeCells count="5">
    <mergeCell ref="B2:M2"/>
    <mergeCell ref="B3:M3"/>
    <mergeCell ref="B6:M6"/>
    <mergeCell ref="B11:M11"/>
    <mergeCell ref="B23:M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2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8"/>
    <col collapsed="false" customWidth="true" hidden="false" outlineLevel="0" max="8" min="8" style="0" width="3"/>
  </cols>
  <sheetData>
    <row r="2" customFormat="false" ht="19.7" hidden="false" customHeight="false" outlineLevel="0" collapsed="false">
      <c r="B2" s="14" t="s">
        <v>105</v>
      </c>
      <c r="C2" s="14"/>
      <c r="D2" s="14"/>
      <c r="E2" s="14"/>
      <c r="F2" s="14"/>
      <c r="G2" s="14"/>
    </row>
    <row r="3" customFormat="false" ht="15" hidden="false" customHeight="false" outlineLevel="0" collapsed="false">
      <c r="B3" s="13" t="s">
        <v>106</v>
      </c>
      <c r="C3" s="13"/>
      <c r="D3" s="13"/>
      <c r="E3" s="13"/>
      <c r="F3" s="13"/>
      <c r="G3" s="13"/>
    </row>
    <row r="5" customFormat="false" ht="24.75" hidden="false" customHeight="true" outlineLevel="0" collapsed="false">
      <c r="B5" s="15" t="s">
        <v>74</v>
      </c>
      <c r="C5" s="15" t="s">
        <v>107</v>
      </c>
      <c r="D5" s="15" t="s">
        <v>108</v>
      </c>
      <c r="E5" s="15" t="s">
        <v>109</v>
      </c>
      <c r="F5" s="15" t="s">
        <v>110</v>
      </c>
      <c r="G5" s="15" t="s">
        <v>111</v>
      </c>
    </row>
    <row r="6" customFormat="false" ht="15" hidden="false" customHeight="false" outlineLevel="0" collapsed="false">
      <c r="B6" s="24" t="s">
        <v>76</v>
      </c>
      <c r="C6" s="24"/>
      <c r="D6" s="24"/>
      <c r="E6" s="24"/>
      <c r="F6" s="24"/>
      <c r="G6" s="24"/>
    </row>
    <row r="7" customFormat="false" ht="15" hidden="false" customHeight="false" outlineLevel="0" collapsed="false">
      <c r="B7" s="35" t="s">
        <v>77</v>
      </c>
      <c r="C7" s="27" t="n">
        <f aca="false">Apr!M7+May!M7+Jun!M7</f>
        <v>0</v>
      </c>
      <c r="D7" s="27" t="n">
        <f aca="false">Jul!M7+Aug!M7+Sep!M7</f>
        <v>0</v>
      </c>
      <c r="E7" s="27" t="n">
        <f aca="false">Oct!M7+Nov!M7+Dec!M7</f>
        <v>0</v>
      </c>
      <c r="F7" s="27" t="n">
        <f aca="false">Jan!M7+Feb!M7+Mar!M7</f>
        <v>0</v>
      </c>
      <c r="G7" s="36" t="n">
        <f aca="false">SUM(C7:F7)</f>
        <v>0</v>
      </c>
    </row>
    <row r="8" customFormat="false" ht="15" hidden="false" customHeight="false" outlineLevel="0" collapsed="false">
      <c r="B8" s="35" t="s">
        <v>78</v>
      </c>
      <c r="C8" s="27" t="n">
        <f aca="false">Apr!M8+May!M8+Jun!M8</f>
        <v>0</v>
      </c>
      <c r="D8" s="27" t="n">
        <f aca="false">Jul!M8+Aug!M8+Sep!M8</f>
        <v>0</v>
      </c>
      <c r="E8" s="27" t="n">
        <f aca="false">Oct!M8+Nov!M8+Dec!M8</f>
        <v>0</v>
      </c>
      <c r="F8" s="27" t="n">
        <f aca="false">Jan!M8+Feb!M8+Mar!M8</f>
        <v>0</v>
      </c>
      <c r="G8" s="36" t="n">
        <f aca="false">SUM(C8:F8)</f>
        <v>0</v>
      </c>
    </row>
    <row r="9" customFormat="false" ht="15" hidden="false" customHeight="false" outlineLevel="0" collapsed="false">
      <c r="B9" s="28" t="s">
        <v>79</v>
      </c>
      <c r="C9" s="29" t="n">
        <f aca="false">SUM(C7:C8)</f>
        <v>0</v>
      </c>
      <c r="D9" s="29" t="n">
        <f aca="false">SUM(D7:D8)</f>
        <v>0</v>
      </c>
      <c r="E9" s="29" t="n">
        <f aca="false">SUM(E7:E8)</f>
        <v>0</v>
      </c>
      <c r="F9" s="29" t="n">
        <f aca="false">SUM(F7:F8)</f>
        <v>0</v>
      </c>
      <c r="G9" s="29" t="n">
        <f aca="false">SUM(G7:G8)</f>
        <v>0</v>
      </c>
    </row>
    <row r="11" customFormat="false" ht="15" hidden="false" customHeight="false" outlineLevel="0" collapsed="false">
      <c r="B11" s="30" t="s">
        <v>80</v>
      </c>
      <c r="C11" s="30"/>
      <c r="D11" s="30"/>
      <c r="E11" s="30"/>
      <c r="F11" s="30"/>
      <c r="G11" s="30"/>
    </row>
    <row r="12" customFormat="false" ht="15" hidden="false" customHeight="false" outlineLevel="0" collapsed="false">
      <c r="B12" s="35" t="s">
        <v>81</v>
      </c>
      <c r="C12" s="27" t="n">
        <f aca="false">Apr!M12+May!M12+Jun!M12</f>
        <v>0</v>
      </c>
      <c r="D12" s="27" t="n">
        <f aca="false">Jul!M12+Aug!M12+Sep!M12</f>
        <v>0</v>
      </c>
      <c r="E12" s="27" t="n">
        <f aca="false">Oct!M12+Nov!M12+Dec!M12</f>
        <v>0</v>
      </c>
      <c r="F12" s="27" t="n">
        <f aca="false">Jan!M12+Feb!M12+Mar!M12</f>
        <v>0</v>
      </c>
      <c r="G12" s="36" t="n">
        <f aca="false">SUM(C12:F12)</f>
        <v>0</v>
      </c>
    </row>
    <row r="13" customFormat="false" ht="15" hidden="false" customHeight="false" outlineLevel="0" collapsed="false">
      <c r="B13" s="35" t="s">
        <v>82</v>
      </c>
      <c r="C13" s="27" t="n">
        <f aca="false">Apr!M13+May!M13+Jun!M13</f>
        <v>0</v>
      </c>
      <c r="D13" s="27" t="n">
        <f aca="false">Jul!M13+Aug!M13+Sep!M13</f>
        <v>0</v>
      </c>
      <c r="E13" s="27" t="n">
        <f aca="false">Oct!M13+Nov!M13+Dec!M13</f>
        <v>0</v>
      </c>
      <c r="F13" s="27" t="n">
        <f aca="false">Jan!M13+Feb!M13+Mar!M13</f>
        <v>0</v>
      </c>
      <c r="G13" s="36" t="n">
        <f aca="false">SUM(C13:F13)</f>
        <v>0</v>
      </c>
    </row>
    <row r="14" customFormat="false" ht="15" hidden="false" customHeight="false" outlineLevel="0" collapsed="false">
      <c r="B14" s="35" t="s">
        <v>83</v>
      </c>
      <c r="C14" s="27" t="n">
        <f aca="false">Apr!M14+May!M14+Jun!M14</f>
        <v>0</v>
      </c>
      <c r="D14" s="27" t="n">
        <f aca="false">Jul!M14+Aug!M14+Sep!M14</f>
        <v>0</v>
      </c>
      <c r="E14" s="27" t="n">
        <f aca="false">Oct!M14+Nov!M14+Dec!M14</f>
        <v>0</v>
      </c>
      <c r="F14" s="27" t="n">
        <f aca="false">Jan!M14+Feb!M14+Mar!M14</f>
        <v>0</v>
      </c>
      <c r="G14" s="36" t="n">
        <f aca="false">SUM(C14:F14)</f>
        <v>0</v>
      </c>
    </row>
    <row r="15" customFormat="false" ht="15" hidden="false" customHeight="false" outlineLevel="0" collapsed="false">
      <c r="B15" s="35" t="s">
        <v>84</v>
      </c>
      <c r="C15" s="27" t="n">
        <f aca="false">Apr!M15+May!M15+Jun!M15</f>
        <v>0</v>
      </c>
      <c r="D15" s="27" t="n">
        <f aca="false">Jul!M15+Aug!M15+Sep!M15</f>
        <v>0</v>
      </c>
      <c r="E15" s="27" t="n">
        <f aca="false">Oct!M15+Nov!M15+Dec!M15</f>
        <v>0</v>
      </c>
      <c r="F15" s="27" t="n">
        <f aca="false">Jan!M15+Feb!M15+Mar!M15</f>
        <v>0</v>
      </c>
      <c r="G15" s="36" t="n">
        <f aca="false">SUM(C15:F15)</f>
        <v>0</v>
      </c>
    </row>
    <row r="16" customFormat="false" ht="15" hidden="false" customHeight="false" outlineLevel="0" collapsed="false">
      <c r="B16" s="35" t="s">
        <v>85</v>
      </c>
      <c r="C16" s="27" t="n">
        <f aca="false">Apr!M16+May!M16+Jun!M16</f>
        <v>0</v>
      </c>
      <c r="D16" s="27" t="n">
        <f aca="false">Jul!M16+Aug!M16+Sep!M16</f>
        <v>0</v>
      </c>
      <c r="E16" s="27" t="n">
        <f aca="false">Oct!M16+Nov!M16+Dec!M16</f>
        <v>0</v>
      </c>
      <c r="F16" s="27" t="n">
        <f aca="false">Jan!M16+Feb!M16+Mar!M16</f>
        <v>0</v>
      </c>
      <c r="G16" s="36" t="n">
        <f aca="false">SUM(C16:F16)</f>
        <v>0</v>
      </c>
    </row>
    <row r="17" customFormat="false" ht="15" hidden="false" customHeight="false" outlineLevel="0" collapsed="false">
      <c r="B17" s="35" t="s">
        <v>86</v>
      </c>
      <c r="C17" s="27" t="n">
        <f aca="false">Apr!M17+May!M17+Jun!M17</f>
        <v>0</v>
      </c>
      <c r="D17" s="27" t="n">
        <f aca="false">Jul!M17+Aug!M17+Sep!M17</f>
        <v>0</v>
      </c>
      <c r="E17" s="27" t="n">
        <f aca="false">Oct!M17+Nov!M17+Dec!M17</f>
        <v>0</v>
      </c>
      <c r="F17" s="27" t="n">
        <f aca="false">Jan!M17+Feb!M17+Mar!M17</f>
        <v>0</v>
      </c>
      <c r="G17" s="36" t="n">
        <f aca="false">SUM(C17:F17)</f>
        <v>0</v>
      </c>
    </row>
    <row r="18" customFormat="false" ht="15" hidden="false" customHeight="false" outlineLevel="0" collapsed="false">
      <c r="B18" s="35" t="s">
        <v>87</v>
      </c>
      <c r="C18" s="27" t="n">
        <f aca="false">Apr!M18+May!M18+Jun!M18</f>
        <v>0</v>
      </c>
      <c r="D18" s="27" t="n">
        <f aca="false">Jul!M18+Aug!M18+Sep!M18</f>
        <v>0</v>
      </c>
      <c r="E18" s="27" t="n">
        <f aca="false">Oct!M18+Nov!M18+Dec!M18</f>
        <v>0</v>
      </c>
      <c r="F18" s="27" t="n">
        <f aca="false">Jan!M18+Feb!M18+Mar!M18</f>
        <v>0</v>
      </c>
      <c r="G18" s="36" t="n">
        <f aca="false">SUM(C18:F18)</f>
        <v>0</v>
      </c>
    </row>
    <row r="19" customFormat="false" ht="15" hidden="false" customHeight="false" outlineLevel="0" collapsed="false">
      <c r="B19" s="31" t="s">
        <v>88</v>
      </c>
      <c r="C19" s="32" t="n">
        <f aca="false">SUM(C12:C18)</f>
        <v>0</v>
      </c>
      <c r="D19" s="32" t="n">
        <f aca="false">SUM(D12:D18)</f>
        <v>0</v>
      </c>
      <c r="E19" s="32" t="n">
        <f aca="false">SUM(E12:E18)</f>
        <v>0</v>
      </c>
      <c r="F19" s="32" t="n">
        <f aca="false">SUM(F12:F18)</f>
        <v>0</v>
      </c>
      <c r="G19" s="32" t="n">
        <f aca="false">SUM(G12:G18)</f>
        <v>0</v>
      </c>
    </row>
    <row r="21" customFormat="false" ht="15" hidden="false" customHeight="false" outlineLevel="0" collapsed="false">
      <c r="B21" s="37" t="s">
        <v>89</v>
      </c>
      <c r="C21" s="38" t="n">
        <f aca="false">C9-C19</f>
        <v>0</v>
      </c>
      <c r="D21" s="38" t="n">
        <f aca="false">D9-D19</f>
        <v>0</v>
      </c>
      <c r="E21" s="38" t="n">
        <f aca="false">E9-E19</f>
        <v>0</v>
      </c>
      <c r="F21" s="38" t="n">
        <f aca="false">F9-F19</f>
        <v>0</v>
      </c>
      <c r="G21" s="38" t="n">
        <f aca="false">G9-G19</f>
        <v>0</v>
      </c>
    </row>
    <row r="23" customFormat="false" ht="15" hidden="false" customHeight="false" outlineLevel="0" collapsed="false">
      <c r="B23" s="39" t="s">
        <v>112</v>
      </c>
      <c r="C23" s="40"/>
      <c r="D23" s="40"/>
      <c r="E23" s="40"/>
      <c r="F23" s="40"/>
      <c r="G23" s="40"/>
    </row>
    <row r="24" customFormat="false" ht="15" hidden="false" customHeight="false" outlineLevel="0" collapsed="false">
      <c r="B24" s="35" t="s">
        <v>113</v>
      </c>
      <c r="C24" s="27" t="n">
        <f aca="false">C14</f>
        <v>0</v>
      </c>
      <c r="D24" s="27" t="n">
        <f aca="false">D14</f>
        <v>0</v>
      </c>
      <c r="E24" s="27" t="n">
        <f aca="false">E14</f>
        <v>0</v>
      </c>
      <c r="F24" s="27" t="n">
        <f aca="false">F14</f>
        <v>0</v>
      </c>
      <c r="G24" s="27" t="n">
        <f aca="false">G14</f>
        <v>0</v>
      </c>
    </row>
    <row r="25" customFormat="false" ht="15" hidden="false" customHeight="false" outlineLevel="0" collapsed="false">
      <c r="B25" s="41" t="s">
        <v>114</v>
      </c>
      <c r="C25" s="42" t="n">
        <f aca="false">C24*0.2</f>
        <v>0</v>
      </c>
      <c r="D25" s="42" t="n">
        <f aca="false">D24*0.2</f>
        <v>0</v>
      </c>
      <c r="E25" s="42" t="n">
        <f aca="false">E24*0.2</f>
        <v>0</v>
      </c>
      <c r="F25" s="42" t="n">
        <f aca="false">F24*0.2</f>
        <v>0</v>
      </c>
      <c r="G25" s="42" t="n">
        <f aca="false">G24*0.2</f>
        <v>0</v>
      </c>
    </row>
    <row r="27" customFormat="false" ht="15" hidden="false" customHeight="false" outlineLevel="0" collapsed="false">
      <c r="B27" s="43" t="s">
        <v>115</v>
      </c>
      <c r="C27" s="40"/>
      <c r="D27" s="40"/>
      <c r="E27" s="40"/>
      <c r="F27" s="40"/>
      <c r="G27" s="40"/>
    </row>
    <row r="28" customFormat="false" ht="15" hidden="false" customHeight="false" outlineLevel="0" collapsed="false">
      <c r="B28" s="44" t="s">
        <v>116</v>
      </c>
      <c r="C28" s="45" t="s">
        <v>27</v>
      </c>
    </row>
    <row r="29" customFormat="false" ht="15" hidden="false" customHeight="false" outlineLevel="0" collapsed="false">
      <c r="B29" s="44" t="s">
        <v>117</v>
      </c>
      <c r="C29" s="45" t="s">
        <v>29</v>
      </c>
    </row>
    <row r="30" customFormat="false" ht="15" hidden="false" customHeight="false" outlineLevel="0" collapsed="false">
      <c r="B30" s="44" t="s">
        <v>118</v>
      </c>
      <c r="C30" s="45" t="s">
        <v>31</v>
      </c>
    </row>
    <row r="31" customFormat="false" ht="15" hidden="false" customHeight="false" outlineLevel="0" collapsed="false">
      <c r="B31" s="44" t="s">
        <v>119</v>
      </c>
      <c r="C31" s="45" t="s">
        <v>35</v>
      </c>
    </row>
  </sheetData>
  <mergeCells count="4">
    <mergeCell ref="B2:G2"/>
    <mergeCell ref="B3:G3"/>
    <mergeCell ref="B6:G6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4" min="3" style="0" width="20"/>
    <col collapsed="false" customWidth="true" hidden="false" outlineLevel="0" max="5" min="5" style="0" width="3"/>
  </cols>
  <sheetData>
    <row r="2" customFormat="false" ht="19.7" hidden="false" customHeight="false" outlineLevel="0" collapsed="false">
      <c r="B2" s="14" t="s">
        <v>120</v>
      </c>
      <c r="C2" s="14"/>
      <c r="D2" s="14"/>
    </row>
    <row r="3" customFormat="false" ht="15" hidden="false" customHeight="false" outlineLevel="0" collapsed="false">
      <c r="B3" s="13" t="s">
        <v>121</v>
      </c>
      <c r="C3" s="13"/>
      <c r="D3" s="13"/>
    </row>
    <row r="5" customFormat="false" ht="24.75" hidden="false" customHeight="true" outlineLevel="0" collapsed="false">
      <c r="B5" s="15"/>
      <c r="C5" s="15" t="s">
        <v>122</v>
      </c>
      <c r="D5" s="15" t="s">
        <v>123</v>
      </c>
    </row>
    <row r="6" customFormat="false" ht="15" hidden="false" customHeight="false" outlineLevel="0" collapsed="false">
      <c r="B6" s="44" t="s">
        <v>124</v>
      </c>
      <c r="C6" s="36" t="n">
        <f aca="false">'Quarterly MTD'!G9</f>
        <v>0</v>
      </c>
      <c r="D6" s="46" t="s">
        <v>125</v>
      </c>
    </row>
    <row r="7" customFormat="false" ht="15" hidden="false" customHeight="false" outlineLevel="0" collapsed="false">
      <c r="B7" s="35" t="s">
        <v>81</v>
      </c>
      <c r="C7" s="27" t="n">
        <f aca="false">'Quarterly MTD'!G12</f>
        <v>0</v>
      </c>
      <c r="D7" s="46" t="s">
        <v>126</v>
      </c>
    </row>
    <row r="8" customFormat="false" ht="15" hidden="false" customHeight="false" outlineLevel="0" collapsed="false">
      <c r="B8" s="35" t="s">
        <v>82</v>
      </c>
      <c r="C8" s="27" t="n">
        <f aca="false">'Quarterly MTD'!G13</f>
        <v>0</v>
      </c>
      <c r="D8" s="46" t="s">
        <v>127</v>
      </c>
    </row>
    <row r="9" customFormat="false" ht="15" hidden="false" customHeight="false" outlineLevel="0" collapsed="false">
      <c r="B9" s="35" t="s">
        <v>83</v>
      </c>
      <c r="C9" s="27" t="n">
        <f aca="false">'Quarterly MTD'!G14</f>
        <v>0</v>
      </c>
      <c r="D9" s="46" t="s">
        <v>128</v>
      </c>
    </row>
    <row r="10" customFormat="false" ht="15" hidden="false" customHeight="false" outlineLevel="0" collapsed="false">
      <c r="B10" s="35" t="s">
        <v>84</v>
      </c>
      <c r="C10" s="27" t="n">
        <f aca="false">'Quarterly MTD'!G15</f>
        <v>0</v>
      </c>
      <c r="D10" s="46" t="s">
        <v>129</v>
      </c>
    </row>
    <row r="11" customFormat="false" ht="15" hidden="false" customHeight="false" outlineLevel="0" collapsed="false">
      <c r="B11" s="35" t="s">
        <v>85</v>
      </c>
      <c r="C11" s="27" t="n">
        <f aca="false">'Quarterly MTD'!G16</f>
        <v>0</v>
      </c>
      <c r="D11" s="46" t="s">
        <v>130</v>
      </c>
    </row>
    <row r="12" customFormat="false" ht="15" hidden="false" customHeight="false" outlineLevel="0" collapsed="false">
      <c r="B12" s="35" t="s">
        <v>86</v>
      </c>
      <c r="C12" s="27" t="n">
        <f aca="false">'Quarterly MTD'!G17</f>
        <v>0</v>
      </c>
      <c r="D12" s="46" t="s">
        <v>131</v>
      </c>
    </row>
    <row r="13" customFormat="false" ht="15" hidden="false" customHeight="false" outlineLevel="0" collapsed="false">
      <c r="B13" s="35" t="s">
        <v>87</v>
      </c>
      <c r="C13" s="27" t="n">
        <f aca="false">'Quarterly MTD'!G18</f>
        <v>0</v>
      </c>
      <c r="D13" s="46" t="s">
        <v>132</v>
      </c>
    </row>
    <row r="14" customFormat="false" ht="15" hidden="false" customHeight="false" outlineLevel="0" collapsed="false">
      <c r="B14" s="31" t="s">
        <v>133</v>
      </c>
      <c r="C14" s="32" t="n">
        <f aca="false">'Quarterly MTD'!G19</f>
        <v>0</v>
      </c>
      <c r="D14" s="47" t="s">
        <v>134</v>
      </c>
    </row>
    <row r="16" customFormat="false" ht="15" hidden="false" customHeight="false" outlineLevel="0" collapsed="false">
      <c r="B16" s="37" t="s">
        <v>135</v>
      </c>
      <c r="C16" s="38" t="n">
        <f aca="false">'Quarterly MTD'!G21</f>
        <v>0</v>
      </c>
      <c r="D16" s="48" t="s">
        <v>136</v>
      </c>
    </row>
    <row r="18" customFormat="false" ht="15" hidden="false" customHeight="false" outlineLevel="0" collapsed="false">
      <c r="B18" s="11" t="s">
        <v>137</v>
      </c>
      <c r="C18" s="11"/>
      <c r="D18" s="11"/>
    </row>
    <row r="19" customFormat="false" ht="15" hidden="false" customHeight="false" outlineLevel="0" collapsed="false">
      <c r="B19" s="44" t="s">
        <v>138</v>
      </c>
      <c r="C19" s="19" t="n">
        <v>0.2</v>
      </c>
      <c r="D19" s="49" t="s">
        <v>139</v>
      </c>
    </row>
    <row r="20" customFormat="false" ht="15" hidden="false" customHeight="false" outlineLevel="0" collapsed="false">
      <c r="B20" s="44" t="s">
        <v>140</v>
      </c>
      <c r="C20" s="36" t="n">
        <f aca="false">IF(C16&gt;0,C16*C19,0)</f>
        <v>0</v>
      </c>
    </row>
    <row r="21" customFormat="false" ht="15" hidden="false" customHeight="false" outlineLevel="0" collapsed="false">
      <c r="B21" s="41" t="s">
        <v>141</v>
      </c>
      <c r="C21" s="42" t="n">
        <f aca="false">'Quarterly MTD'!G24*0.2</f>
        <v>0</v>
      </c>
    </row>
    <row r="22" customFormat="false" ht="15" hidden="false" customHeight="false" outlineLevel="0" collapsed="false">
      <c r="B22" s="50" t="s">
        <v>142</v>
      </c>
      <c r="C22" s="51" t="n">
        <f aca="false">MAX(0,C20-C21)</f>
        <v>0</v>
      </c>
    </row>
    <row r="24" customFormat="false" ht="45" hidden="false" customHeight="true" outlineLevel="0" collapsed="false">
      <c r="B24" s="52" t="s">
        <v>143</v>
      </c>
      <c r="C24" s="52"/>
      <c r="D24" s="52"/>
    </row>
  </sheetData>
  <mergeCells count="4">
    <mergeCell ref="B2:D2"/>
    <mergeCell ref="B3:D3"/>
    <mergeCell ref="B18:D18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2026-04-11T12:10:55Z</dcterms:created>
  <dc:creator>openpyxl</dc:creator>
  <dc:description/>
  <dc:language>en-US</dc:language>
  <cp:lastModifiedBy/>
  <dcterms:modified xsi:type="dcterms:W3CDTF">2026-04-11T12:10:55Z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